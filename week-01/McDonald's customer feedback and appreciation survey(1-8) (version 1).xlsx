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8_{E31277BB-3754-4C9A-BFCC-E2206BFF46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2" r:id="rId1"/>
    <sheet name="Sheet1" sheetId="1" r:id="rId2"/>
  </sheets>
  <calcPr calcId="191029"/>
  <pivotCaches>
    <pivotCache cacheId="22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J10" i="1"/>
  <c r="D2" i="1"/>
  <c r="D10" i="1" s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<sst xmlns="http://schemas.openxmlformats.org/spreadsheetml/2006/main" count="59" uniqueCount="34">
  <si>
    <t>ID</t>
  </si>
  <si>
    <t>Start time</t>
  </si>
  <si>
    <t>Completion time</t>
  </si>
  <si>
    <t>Email</t>
  </si>
  <si>
    <t>Name</t>
  </si>
  <si>
    <t>Last modified time</t>
  </si>
  <si>
    <t>How satisfied were you on your last visit?</t>
  </si>
  <si>
    <t>How can your last experience with our customer service?</t>
  </si>
  <si>
    <t>Rate from one to five, how clean was our enviroment</t>
  </si>
  <si>
    <t>How often do you visit us?</t>
  </si>
  <si>
    <t>What do you enjoy most about us? </t>
  </si>
  <si>
    <t>What can we do to make your next visit better?</t>
  </si>
  <si>
    <t>anonymous</t>
  </si>
  <si>
    <t>Very satisfied</t>
  </si>
  <si>
    <t>Good</t>
  </si>
  <si>
    <t>Monthly</t>
  </si>
  <si>
    <t>The affordable prices</t>
  </si>
  <si>
    <t>Add deals and discounts</t>
  </si>
  <si>
    <t>Occasionally</t>
  </si>
  <si>
    <t xml:space="preserve">The service was great so far. </t>
  </si>
  <si>
    <t xml:space="preserve">My meal was great this time and I did not have any complaints. </t>
  </si>
  <si>
    <t>Somewhat satisfied</t>
  </si>
  <si>
    <t>Average</t>
  </si>
  <si>
    <t>Oreo McFlurry</t>
  </si>
  <si>
    <t xml:space="preserve">Keep Smiling </t>
  </si>
  <si>
    <t>Excellent</t>
  </si>
  <si>
    <t>Weekly</t>
  </si>
  <si>
    <t>Daily</t>
  </si>
  <si>
    <t>Time to complete</t>
  </si>
  <si>
    <t>Row Labels</t>
  </si>
  <si>
    <t>Grand Total</t>
  </si>
  <si>
    <t>10-Apr</t>
  </si>
  <si>
    <t>9-Apr</t>
  </si>
  <si>
    <t>Sum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</si>
</sst>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[McDonald's customer feedback and appreciation survey(1-8) (version 1).xlsx]Sheet2!PivotTable1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Sheet2!$A$2:$A$7</c:f>
              <c:multiLvlStrCache>
                <c:ptCount val="3"/>
                <c:lvl>
                  <c:pt idx="0">
                    <c:v>10-Apr</c:v>
                  </c:pt>
                  <c:pt idx="1">
                    <c:v>9-Apr</c:v>
                  </c:pt>
                  <c:pt idx="2">
                    <c:v>10-Apr</c:v>
                  </c:pt>
                </c:lvl>
                <c:lvl>
                  <c:pt idx="0">
                    <c:v>Somewhat satisfied</c:v>
                  </c:pt>
                  <c:pt idx="1">
                    <c:v>Very satisfied</c:v>
                  </c:pt>
                </c:lvl>
              </c:multiLvlStrCache>
            </c:multiLvlStrRef>
          </c:cat>
          <c:val>
            <c:numRef>
              <c:f>Sheet2!$B$2:$B$7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E-4E8B-B117-80824211B0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0</xdr:row>
      <xdr:rowOff>0</xdr:rowOff>
    </xdr:from>
    <xdr:to>
      <xdr:col>9</xdr:col>
      <xdr:colOff>406400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E2949-E863-6022-E3AE-F9085319A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123.885818750001" createdVersion="8" refreshedVersion="8" minRefreshableVersion="3" recordCount="8" xr:uid="{ECCF6F31-C8B1-461A-8C01-7194EEF820A7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8"/>
    </cacheField>
    <cacheField name="Start time" numFmtId="165">
      <sharedItems containsSemiMixedTypes="0" containsNonDate="0" containsDate="1" containsString="0" minDate="2026-04-09T12:24:07" maxDate="2026-04-10T15:37:34" count="8">
        <d v="2026-04-09T12:24:07"/>
        <d v="2026-04-09T20:58:46"/>
        <d v="2026-04-10T00:44:03"/>
        <d v="2026-04-10T02:48:51"/>
        <d v="2026-04-10T11:23:54"/>
        <d v="2026-04-10T11:33:24"/>
        <d v="2026-04-10T15:36:47"/>
        <d v="2026-04-10T15:37:34"/>
      </sharedItems>
      <fieldGroup par="16"/>
    </cacheField>
    <cacheField name="Completion time" numFmtId="165">
      <sharedItems containsSemiMixedTypes="0" containsNonDate="0" containsDate="1" containsString="0" minDate="2026-04-09T12:25:59" maxDate="2026-04-10T15:37:43" count="8">
        <d v="2026-04-09T12:25:59"/>
        <d v="2026-04-09T20:59:45"/>
        <d v="2026-04-10T00:45:44"/>
        <d v="2026-04-10T02:49:19"/>
        <d v="2026-04-10T11:24:09"/>
        <d v="2026-04-10T11:33:33"/>
        <d v="2026-04-10T15:37:06"/>
        <d v="2026-04-10T15:37:43"/>
      </sharedItems>
    </cacheField>
    <cacheField name="Time to complete" numFmtId="45">
      <sharedItems containsSemiMixedTypes="0" containsNonDate="0" containsDate="1" containsString="0" minDate="1899-12-30T00:00:09" maxDate="1899-12-30T00:01:52"/>
    </cacheField>
    <cacheField name="Email" numFmtId="0">
      <sharedItems/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/>
    </cacheField>
    <cacheField name="How satisfied were you on your last visit?" numFmtId="0">
      <sharedItems count="2">
        <s v="Very satisfied"/>
        <s v="Somewhat satisfied"/>
      </sharedItems>
    </cacheField>
    <cacheField name="How can your last experience with our customer service?" numFmtId="0">
      <sharedItems/>
    </cacheField>
    <cacheField name="Rate from one to five, how clean was our enviroment" numFmtId="0">
      <sharedItems containsSemiMixedTypes="0" containsString="0" containsNumber="1" containsInteger="1" minValue="4" maxValue="5"/>
    </cacheField>
    <cacheField name="How often do you visit us?" numFmtId="0">
      <sharedItems/>
    </cacheField>
    <cacheField name="What do you enjoy most about us? " numFmtId="0">
      <sharedItems containsBlank="1"/>
    </cacheField>
    <cacheField name="What can we do to make your next visit better?" numFmtId="0">
      <sharedItems containsBlank="1"/>
    </cacheField>
    <cacheField name="Seconds (Start time)" numFmtId="0" databaseField="0">
      <fieldGroup base="1">
        <rangePr groupBy="seconds" startDate="2026-04-09T12:24:07" endDate="2026-04-10T15:37:34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Minutes (Start time)" numFmtId="0" databaseField="0">
      <fieldGroup base="1">
        <rangePr groupBy="minutes" startDate="2026-04-09T12:24:07" endDate="2026-04-10T15:37:34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Hours (Start time)" numFmtId="0" databaseField="0">
      <fieldGroup base="1">
        <rangePr groupBy="hours" startDate="2026-04-09T12:24:07" endDate="2026-04-10T15:37:34"/>
        <groupItems count="26">
          <s v="&lt;4/9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10/2026"/>
        </groupItems>
      </fieldGroup>
    </cacheField>
    <cacheField name="Days (Start time)" numFmtId="0" databaseField="0">
      <fieldGroup base="1">
        <rangePr groupBy="days" startDate="2026-04-09T12:24:07" endDate="2026-04-10T15:37:34"/>
        <groupItems count="368">
          <s v="&lt;4/9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d v="1899-12-30T00:01:52"/>
    <s v="anonymous"/>
    <x v="0"/>
    <m/>
    <x v="0"/>
    <s v="Good"/>
    <n v="5"/>
    <s v="Monthly"/>
    <s v="The affordable prices"/>
    <s v="Add deals and discounts"/>
  </r>
  <r>
    <n v="2"/>
    <x v="1"/>
    <x v="1"/>
    <d v="1899-12-30T00:00:59"/>
    <s v="anonymous"/>
    <x v="0"/>
    <m/>
    <x v="0"/>
    <s v="Good"/>
    <n v="5"/>
    <s v="Occasionally"/>
    <s v="The service was great so far. "/>
    <s v="My meal was great this time and I did not have any complaints. "/>
  </r>
  <r>
    <n v="3"/>
    <x v="2"/>
    <x v="2"/>
    <d v="1899-12-30T00:01:41"/>
    <s v="anonymous"/>
    <x v="0"/>
    <m/>
    <x v="1"/>
    <s v="Average"/>
    <n v="4"/>
    <s v="Monthly"/>
    <s v="Oreo McFlurry"/>
    <s v="Keep Smiling "/>
  </r>
  <r>
    <n v="4"/>
    <x v="3"/>
    <x v="3"/>
    <d v="1899-12-30T00:00:28"/>
    <s v="anonymous"/>
    <x v="0"/>
    <m/>
    <x v="0"/>
    <s v="Excellent"/>
    <n v="5"/>
    <s v="Weekly"/>
    <m/>
    <m/>
  </r>
  <r>
    <n v="5"/>
    <x v="4"/>
    <x v="4"/>
    <d v="1899-12-30T00:00:15"/>
    <s v="anonymous"/>
    <x v="0"/>
    <m/>
    <x v="1"/>
    <s v="Average"/>
    <n v="4"/>
    <s v="Weekly"/>
    <m/>
    <m/>
  </r>
  <r>
    <n v="6"/>
    <x v="5"/>
    <x v="5"/>
    <d v="1899-12-30T00:00:09"/>
    <s v="anonymous"/>
    <x v="0"/>
    <m/>
    <x v="0"/>
    <s v="Excellent"/>
    <n v="5"/>
    <s v="Daily"/>
    <m/>
    <m/>
  </r>
  <r>
    <n v="7"/>
    <x v="6"/>
    <x v="6"/>
    <d v="1899-12-30T00:00:19"/>
    <s v="anonymous"/>
    <x v="0"/>
    <m/>
    <x v="1"/>
    <s v="Excellent"/>
    <n v="5"/>
    <s v="Weekly"/>
    <m/>
    <m/>
  </r>
  <r>
    <n v="8"/>
    <x v="7"/>
    <x v="7"/>
    <d v="1899-12-30T00:00:09"/>
    <s v="anonymous"/>
    <x v="0"/>
    <m/>
    <x v="0"/>
    <s v="Excellent"/>
    <n v="4"/>
    <s v="Monthly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9DAC2-4EE6-46A2-A088-B705149B46EC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7">
    <pivotField dataField="1" showAll="0"/>
    <pivotField numFmtId="165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numFmtId="45" showAll="0"/>
    <pivotField showAll="0"/>
    <pivotField showAll="0">
      <items count="2"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5">
    <field x="7"/>
    <field x="16"/>
    <field x="15"/>
    <field x="14"/>
    <field x="13"/>
  </rowFields>
  <rowItems count="6">
    <i>
      <x/>
    </i>
    <i r="1">
      <x v="101"/>
    </i>
    <i>
      <x v="1"/>
    </i>
    <i r="1">
      <x v="100"/>
    </i>
    <i r="1">
      <x v="101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0" totalsRowCount="1">
  <autoFilter ref="A1:M9" xr:uid="{00000000-0009-0000-0100-000001000000}"/>
  <tableColumns count="13">
    <tableColumn id="1" xr3:uid="{00000000-0010-0000-0000-000001000000}" name="ID" dataDxfId="25" totalsRowDxfId="24"/>
    <tableColumn id="2" xr3:uid="{00000000-0010-0000-0000-000002000000}" name="Start time" dataDxfId="23" totalsRowDxfId="22"/>
    <tableColumn id="3" xr3:uid="{00000000-0010-0000-0000-000003000000}" name="Completion time" dataDxfId="21" totalsRowDxfId="20"/>
    <tableColumn id="13" xr3:uid="{643BADEC-C777-439D-80D6-B86EB3AC4695}" name="Time to complete" totalsRowFunction="custom" dataDxfId="19" totalsRowDxfId="18">
      <calculatedColumnFormula>C2-B2</calculatedColumnFormula>
      <totalsRowFormula>AVERAGE(D2:D9)</totalsRowFormula>
    </tableColumn>
    <tableColumn id="4" xr3:uid="{00000000-0010-0000-0000-000004000000}" name="Email" dataDxfId="17" totalsRowDxfId="16"/>
    <tableColumn id="5" xr3:uid="{00000000-0010-0000-0000-000005000000}" name="Name" dataDxfId="15" totalsRowDxfId="14"/>
    <tableColumn id="6" xr3:uid="{00000000-0010-0000-0000-000006000000}" name="Last modified time" dataDxfId="13" totalsRowDxfId="12"/>
    <tableColumn id="7" xr3:uid="{00000000-0010-0000-0000-000007000000}" name="How satisfied were you on your last visit?" totalsRowFunction="custom" dataDxfId="11" totalsRowDxfId="10">
      <totalsRowFormula>COUNTIF(Table1[How satisfied were you on your last visit?],"very satisfied")</totalsRowFormula>
    </tableColumn>
    <tableColumn id="8" xr3:uid="{00000000-0010-0000-0000-000008000000}" name="How can your last experience with our customer service?" dataDxfId="9" totalsRowDxfId="8"/>
    <tableColumn id="9" xr3:uid="{00000000-0010-0000-0000-000009000000}" name="Rate from one to five, how clean was our enviroment" totalsRowFunction="custom" dataDxfId="7" totalsRowDxfId="6">
      <totalsRowFormula>AVERAGE(J2:J9)</totalsRowFormula>
    </tableColumn>
    <tableColumn id="10" xr3:uid="{00000000-0010-0000-0000-00000A000000}" name="How often do you visit us?" dataDxfId="5" totalsRowDxfId="4"/>
    <tableColumn id="11" xr3:uid="{00000000-0010-0000-0000-00000B000000}" name="What do you enjoy most about us? " dataDxfId="3" totalsRowDxfId="2"/>
    <tableColumn id="12" xr3:uid="{00000000-0010-0000-0000-00000C000000}" name="What can we do to make your next visit better?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4CDD-3C23-41C7-B1DA-9CD9CEC60887}">
  <dimension ref="A1:B7"/>
  <sheetViews>
    <sheetView workbookViewId="0">
      <selection activeCell="E20" sqref="E20"/>
    </sheetView>
  </sheetViews>
  <sheetFormatPr defaultRowHeight="14.5" x14ac:dyDescent="0.35"/>
  <cols>
    <col min="1" max="1" width="19.1796875" bestFit="1" customWidth="1"/>
    <col min="2" max="2" width="8.90625" bestFit="1" customWidth="1"/>
  </cols>
  <sheetData>
    <row r="1" spans="1:2" x14ac:dyDescent="0.35">
      <c r="A1" s="4" t="s">
        <v>29</v>
      </c>
      <c r="B1" t="s">
        <v>33</v>
      </c>
    </row>
    <row r="2" spans="1:2" x14ac:dyDescent="0.35">
      <c r="A2" s="5" t="s">
        <v>21</v>
      </c>
      <c r="B2" s="7">
        <v>15</v>
      </c>
    </row>
    <row r="3" spans="1:2" x14ac:dyDescent="0.35">
      <c r="A3" s="6" t="s">
        <v>31</v>
      </c>
      <c r="B3" s="7">
        <v>15</v>
      </c>
    </row>
    <row r="4" spans="1:2" x14ac:dyDescent="0.35">
      <c r="A4" s="5" t="s">
        <v>13</v>
      </c>
      <c r="B4" s="7">
        <v>21</v>
      </c>
    </row>
    <row r="5" spans="1:2" x14ac:dyDescent="0.35">
      <c r="A5" s="6" t="s">
        <v>32</v>
      </c>
      <c r="B5" s="7">
        <v>3</v>
      </c>
    </row>
    <row r="6" spans="1:2" x14ac:dyDescent="0.35">
      <c r="A6" s="6" t="s">
        <v>31</v>
      </c>
      <c r="B6" s="7">
        <v>18</v>
      </c>
    </row>
    <row r="7" spans="1:2" x14ac:dyDescent="0.35">
      <c r="A7" s="5" t="s">
        <v>30</v>
      </c>
      <c r="B7" s="7">
        <v>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5" sqref="D5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0" bestFit="1" customWidth="1"/>
    <col min="4" max="4" width="20" style="3" customWidth="1"/>
    <col min="5" max="13" width="20" bestFit="1" customWidth="1"/>
  </cols>
  <sheetData>
    <row r="1" spans="1:13" x14ac:dyDescent="0.35">
      <c r="A1" t="s">
        <v>0</v>
      </c>
      <c r="B1" s="2" t="s">
        <v>1</v>
      </c>
      <c r="C1" t="s">
        <v>2</v>
      </c>
      <c r="D1" s="3" t="s">
        <v>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 s="2">
        <v>46121.5167476852</v>
      </c>
      <c r="C2" s="2">
        <v>46121.518043981501</v>
      </c>
      <c r="D2" s="3">
        <f t="shared" ref="D2:D9" si="0">C2-B2</f>
        <v>1.2962963010068052E-3</v>
      </c>
      <c r="E2" t="s">
        <v>12</v>
      </c>
      <c r="G2" s="1"/>
      <c r="H2" t="s">
        <v>13</v>
      </c>
      <c r="I2" t="s">
        <v>14</v>
      </c>
      <c r="J2">
        <v>5</v>
      </c>
      <c r="K2" t="s">
        <v>15</v>
      </c>
      <c r="L2" t="s">
        <v>16</v>
      </c>
      <c r="M2" t="s">
        <v>17</v>
      </c>
    </row>
    <row r="3" spans="1:13" x14ac:dyDescent="0.35">
      <c r="A3">
        <v>2</v>
      </c>
      <c r="B3" s="2">
        <v>46121.8741435185</v>
      </c>
      <c r="C3" s="2">
        <v>46121.874826388899</v>
      </c>
      <c r="D3" s="3">
        <f t="shared" si="0"/>
        <v>6.8287039903225377E-4</v>
      </c>
      <c r="E3" t="s">
        <v>12</v>
      </c>
      <c r="G3" s="1"/>
      <c r="H3" t="s">
        <v>13</v>
      </c>
      <c r="I3" t="s">
        <v>14</v>
      </c>
      <c r="J3">
        <v>5</v>
      </c>
      <c r="K3" t="s">
        <v>18</v>
      </c>
      <c r="L3" t="s">
        <v>19</v>
      </c>
      <c r="M3" t="s">
        <v>20</v>
      </c>
    </row>
    <row r="4" spans="1:13" x14ac:dyDescent="0.35">
      <c r="A4">
        <v>3</v>
      </c>
      <c r="B4" s="2">
        <v>46122.030590277798</v>
      </c>
      <c r="C4" s="2">
        <v>46122.031759259298</v>
      </c>
      <c r="D4" s="3">
        <f t="shared" si="0"/>
        <v>1.1689815000863746E-3</v>
      </c>
      <c r="E4" t="s">
        <v>12</v>
      </c>
      <c r="G4" s="1"/>
      <c r="H4" t="s">
        <v>21</v>
      </c>
      <c r="I4" t="s">
        <v>22</v>
      </c>
      <c r="J4">
        <v>4</v>
      </c>
      <c r="K4" t="s">
        <v>15</v>
      </c>
      <c r="L4" t="s">
        <v>23</v>
      </c>
      <c r="M4" t="s">
        <v>24</v>
      </c>
    </row>
    <row r="5" spans="1:13" x14ac:dyDescent="0.35">
      <c r="A5">
        <v>4</v>
      </c>
      <c r="B5" s="2">
        <v>46122.117256944402</v>
      </c>
      <c r="C5" s="2">
        <v>46122.117581018501</v>
      </c>
      <c r="D5" s="3">
        <f t="shared" si="0"/>
        <v>3.2407409889856353E-4</v>
      </c>
      <c r="E5" t="s">
        <v>12</v>
      </c>
      <c r="G5" s="1"/>
      <c r="H5" t="s">
        <v>13</v>
      </c>
      <c r="I5" t="s">
        <v>25</v>
      </c>
      <c r="J5">
        <v>5</v>
      </c>
      <c r="K5" t="s">
        <v>26</v>
      </c>
    </row>
    <row r="6" spans="1:13" x14ac:dyDescent="0.35">
      <c r="A6">
        <v>5</v>
      </c>
      <c r="B6" s="2">
        <v>46122.474930555603</v>
      </c>
      <c r="C6" s="2">
        <v>46122.475104166697</v>
      </c>
      <c r="D6" s="3">
        <f t="shared" si="0"/>
        <v>1.7361109348712489E-4</v>
      </c>
      <c r="E6" t="s">
        <v>12</v>
      </c>
      <c r="G6" s="1"/>
      <c r="H6" t="s">
        <v>21</v>
      </c>
      <c r="I6" t="s">
        <v>22</v>
      </c>
      <c r="J6">
        <v>4</v>
      </c>
      <c r="K6" t="s">
        <v>26</v>
      </c>
    </row>
    <row r="7" spans="1:13" x14ac:dyDescent="0.35">
      <c r="A7">
        <v>6</v>
      </c>
      <c r="B7" s="2">
        <v>46122.481527777803</v>
      </c>
      <c r="C7" s="2">
        <v>46122.4816319444</v>
      </c>
      <c r="D7" s="3">
        <f t="shared" si="0"/>
        <v>1.041665964294225E-4</v>
      </c>
      <c r="E7" t="s">
        <v>12</v>
      </c>
      <c r="G7" s="1"/>
      <c r="H7" t="s">
        <v>13</v>
      </c>
      <c r="I7" t="s">
        <v>25</v>
      </c>
      <c r="J7">
        <v>5</v>
      </c>
      <c r="K7" t="s">
        <v>27</v>
      </c>
    </row>
    <row r="8" spans="1:13" x14ac:dyDescent="0.35">
      <c r="A8">
        <v>7</v>
      </c>
      <c r="B8" s="2">
        <v>46122.650543981501</v>
      </c>
      <c r="C8" s="2">
        <v>46122.650763888902</v>
      </c>
      <c r="D8" s="3">
        <f t="shared" si="0"/>
        <v>2.1990740060573444E-4</v>
      </c>
      <c r="E8" t="s">
        <v>12</v>
      </c>
      <c r="G8" s="1"/>
      <c r="H8" t="s">
        <v>21</v>
      </c>
      <c r="I8" t="s">
        <v>25</v>
      </c>
      <c r="J8">
        <v>5</v>
      </c>
      <c r="K8" t="s">
        <v>26</v>
      </c>
    </row>
    <row r="9" spans="1:13" x14ac:dyDescent="0.35">
      <c r="A9">
        <v>8</v>
      </c>
      <c r="B9" s="2">
        <v>46122.651087963</v>
      </c>
      <c r="C9" s="2">
        <v>46122.651192129597</v>
      </c>
      <c r="D9" s="3">
        <f t="shared" si="0"/>
        <v>1.041665964294225E-4</v>
      </c>
      <c r="E9" t="s">
        <v>12</v>
      </c>
      <c r="G9" s="1"/>
      <c r="H9" t="s">
        <v>13</v>
      </c>
      <c r="I9" t="s">
        <v>25</v>
      </c>
      <c r="J9">
        <v>4</v>
      </c>
      <c r="K9" t="s">
        <v>15</v>
      </c>
    </row>
    <row r="10" spans="1:13" x14ac:dyDescent="0.35">
      <c r="C10" s="2"/>
      <c r="D10" s="3">
        <f>AVERAGE(D2:D9)</f>
        <v>5.0925924824696267E-4</v>
      </c>
      <c r="G10" s="1"/>
      <c r="H10">
        <f>COUNTIF(Table1[How satisfied were you on your last visit?],"very satisfied")</f>
        <v>5</v>
      </c>
      <c r="J10">
        <f>AVERAGE(J2:J9)</f>
        <v>4.625</v>
      </c>
    </row>
    <row r="11" spans="1:13" x14ac:dyDescent="0.35">
      <c r="H11">
        <f>COUNTIF(Table1[How satisfied were you on your last visit?],"somewhat satisfied")</f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ndifon calebndakina</cp:lastModifiedBy>
  <dcterms:created xsi:type="dcterms:W3CDTF">2026-04-10T19:43:34Z</dcterms:created>
  <dcterms:modified xsi:type="dcterms:W3CDTF">2026-04-12T01:34:03Z</dcterms:modified>
</cp:coreProperties>
</file>