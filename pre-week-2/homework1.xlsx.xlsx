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tudent\Documents\DataAnalytics-2026\pre-week-2\"/>
    </mc:Choice>
  </mc:AlternateContent>
  <xr:revisionPtr revIDLastSave="0" documentId="13_ncr:1_{4F37BD84-E5A4-43C7-BA09-61AF2B018F6B}" xr6:coauthVersionLast="47" xr6:coauthVersionMax="47" xr10:uidLastSave="{00000000-0000-0000-0000-000000000000}"/>
  <bookViews>
    <workbookView xWindow="-110" yWindow="-110" windowWidth="19420" windowHeight="11500" xr2:uid="{6A100789-D764-452B-B17D-025EA7CC9C7C}"/>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 l="1"/>
  <c r="D8" i="1"/>
  <c r="D2" i="1"/>
  <c r="D6" i="1"/>
  <c r="D5" i="1"/>
  <c r="D4" i="1"/>
  <c r="D3" i="1"/>
  <c r="D7" i="1" l="1"/>
</calcChain>
</file>

<file path=xl/sharedStrings.xml><?xml version="1.0" encoding="utf-8"?>
<sst xmlns="http://schemas.openxmlformats.org/spreadsheetml/2006/main" count="30" uniqueCount="29">
  <si>
    <t>Store</t>
  </si>
  <si>
    <t>Monthly Sales</t>
  </si>
  <si>
    <t xml:space="preserve"> Store A</t>
  </si>
  <si>
    <t xml:space="preserve"> Store B</t>
  </si>
  <si>
    <t xml:space="preserve"> Store C</t>
  </si>
  <si>
    <t xml:space="preserve"> Store D</t>
  </si>
  <si>
    <t xml:space="preserve"> Store E</t>
  </si>
  <si>
    <t xml:space="preserve"> Store F</t>
  </si>
  <si>
    <t xml:space="preserve"> Store G</t>
  </si>
  <si>
    <t xml:space="preserve"> Store H</t>
  </si>
  <si>
    <t xml:space="preserve"> Store I</t>
  </si>
  <si>
    <t xml:space="preserve"> Store J</t>
  </si>
  <si>
    <t xml:space="preserve"> Store K</t>
  </si>
  <si>
    <t>Store L</t>
  </si>
  <si>
    <t>Mean</t>
  </si>
  <si>
    <t>Median</t>
  </si>
  <si>
    <t>Mode</t>
  </si>
  <si>
    <t>Range</t>
  </si>
  <si>
    <t>Max</t>
  </si>
  <si>
    <t>Min</t>
  </si>
  <si>
    <t>Standard deviation</t>
  </si>
  <si>
    <t>Standard deviation without store H</t>
  </si>
  <si>
    <t>A</t>
  </si>
  <si>
    <t>B</t>
  </si>
  <si>
    <t>C</t>
  </si>
  <si>
    <t>The overall average store performance is 49.41 monthly. This indicates that an average store sell between about 49 to 50 unites per month.</t>
  </si>
  <si>
    <t xml:space="preserve">It can be  considered that store performance are tightly grouped due to the fact that must stares are close to the average range. For example most store sales at are between 40s and 50s while the average is 49.41  </t>
  </si>
  <si>
    <t>Looking the maximum value, it can be seen that there is one value which is significantly higher than others (store H at 72 sale per month compered to 40s and 50s)</t>
  </si>
  <si>
    <t>Some key informations I will like to know is the store locations, store size and store accesibility. These are informations that can also influence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</si>
</sst>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C24A4-3162-4035-8C78-09546446AB42}">
  <dimension ref="A1:D13"/>
  <sheetViews>
    <sheetView tabSelected="1" workbookViewId="0">
      <selection activeCell="B3" sqref="B3"/>
    </sheetView>
  </sheetViews>
  <sheetFormatPr defaultRowHeight="14.5" x14ac:dyDescent="0.35"/>
  <cols>
    <col min="2" max="2" width="12" bestFit="1" customWidth="1"/>
    <col min="3" max="3" width="28.7265625" bestFit="1" customWidth="1"/>
  </cols>
  <sheetData>
    <row r="1" spans="1:4" x14ac:dyDescent="0.35">
      <c r="A1" t="s">
        <v>0</v>
      </c>
      <c r="B1" t="s">
        <v>1</v>
      </c>
    </row>
    <row r="2" spans="1:4" x14ac:dyDescent="0.35">
      <c r="A2" t="s">
        <v>2</v>
      </c>
      <c r="B2">
        <v>51</v>
      </c>
      <c r="C2" t="s">
        <v>14</v>
      </c>
      <c r="D2">
        <f>AVERAGE(B2:B13)</f>
        <v>49.416666666666664</v>
      </c>
    </row>
    <row r="3" spans="1:4" x14ac:dyDescent="0.35">
      <c r="A3" t="s">
        <v>3</v>
      </c>
      <c r="B3">
        <v>44</v>
      </c>
      <c r="C3" t="s">
        <v>15</v>
      </c>
      <c r="D3">
        <f>MEDIAN(B2:B13)</f>
        <v>47.5</v>
      </c>
    </row>
    <row r="4" spans="1:4" x14ac:dyDescent="0.35">
      <c r="A4" t="s">
        <v>4</v>
      </c>
      <c r="B4">
        <v>49</v>
      </c>
      <c r="C4" t="s">
        <v>16</v>
      </c>
      <c r="D4">
        <f>_xlfn.MODE.SNGL(B2:B13)</f>
        <v>46</v>
      </c>
    </row>
    <row r="5" spans="1:4" x14ac:dyDescent="0.35">
      <c r="A5" t="s">
        <v>5</v>
      </c>
      <c r="B5">
        <v>46</v>
      </c>
      <c r="C5" t="s">
        <v>18</v>
      </c>
      <c r="D5">
        <f>MAX(B2:B13)</f>
        <v>72</v>
      </c>
    </row>
    <row r="6" spans="1:4" x14ac:dyDescent="0.35">
      <c r="A6" t="s">
        <v>6</v>
      </c>
      <c r="B6">
        <v>52</v>
      </c>
      <c r="C6" t="s">
        <v>19</v>
      </c>
      <c r="D6">
        <f>MIN(B2:B13)</f>
        <v>43</v>
      </c>
    </row>
    <row r="7" spans="1:4" x14ac:dyDescent="0.35">
      <c r="A7" t="s">
        <v>7</v>
      </c>
      <c r="B7">
        <v>47</v>
      </c>
      <c r="C7" t="s">
        <v>17</v>
      </c>
      <c r="D7">
        <f>MAX(D5)-MIN(D6)</f>
        <v>29</v>
      </c>
    </row>
    <row r="8" spans="1:4" x14ac:dyDescent="0.35">
      <c r="A8" t="s">
        <v>8</v>
      </c>
      <c r="B8">
        <v>45</v>
      </c>
      <c r="C8" t="s">
        <v>20</v>
      </c>
      <c r="D8">
        <f>_xlfn.STDEV.S(B2:B13)</f>
        <v>7.6331613054586773</v>
      </c>
    </row>
    <row r="9" spans="1:4" x14ac:dyDescent="0.35">
      <c r="A9" t="s">
        <v>9</v>
      </c>
      <c r="B9">
        <v>72</v>
      </c>
      <c r="C9" t="s">
        <v>21</v>
      </c>
      <c r="D9">
        <f>_xlfn.STDEV.S(B2:B8,B10:B13)</f>
        <v>2.9076701075853588</v>
      </c>
    </row>
    <row r="10" spans="1:4" x14ac:dyDescent="0.35">
      <c r="A10" t="s">
        <v>10</v>
      </c>
      <c r="B10">
        <v>43</v>
      </c>
    </row>
    <row r="11" spans="1:4" x14ac:dyDescent="0.35">
      <c r="A11" t="s">
        <v>11</v>
      </c>
      <c r="B11">
        <v>48</v>
      </c>
    </row>
    <row r="12" spans="1:4" x14ac:dyDescent="0.35">
      <c r="A12" t="s">
        <v>12</v>
      </c>
      <c r="B12">
        <v>46</v>
      </c>
    </row>
    <row r="13" spans="1:4" x14ac:dyDescent="0.35">
      <c r="A13" t="s">
        <v>13</v>
      </c>
      <c r="B13">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5574D-84DC-4A94-9268-34DB33404D9E}">
  <dimension ref="A1:B4"/>
  <sheetViews>
    <sheetView workbookViewId="0">
      <selection activeCell="B4" sqref="B4"/>
    </sheetView>
  </sheetViews>
  <sheetFormatPr defaultRowHeight="14.5" x14ac:dyDescent="0.35"/>
  <cols>
    <col min="1" max="1" width="2.08984375" bestFit="1" customWidth="1"/>
    <col min="2" max="2" width="168" bestFit="1" customWidth="1"/>
  </cols>
  <sheetData>
    <row r="1" spans="1:2" x14ac:dyDescent="0.35">
      <c r="A1" t="s">
        <v>22</v>
      </c>
      <c r="B1" t="s">
        <v>25</v>
      </c>
    </row>
    <row r="2" spans="1:2" x14ac:dyDescent="0.35">
      <c r="A2" t="s">
        <v>23</v>
      </c>
      <c r="B2" t="s">
        <v>26</v>
      </c>
    </row>
    <row r="3" spans="1:2" x14ac:dyDescent="0.35">
      <c r="A3" t="s">
        <v>24</v>
      </c>
      <c r="B3" t="s">
        <v>27</v>
      </c>
    </row>
    <row r="4" spans="1:2" x14ac:dyDescent="0.35">
      <c r="A4" t="s">
        <v>24</v>
      </c>
      <c r="B4"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ndifon calebndakina</dc:creator>
  <cp:lastModifiedBy>ndifon calebndakina</cp:lastModifiedBy>
  <dcterms:created xsi:type="dcterms:W3CDTF">2026-03-25T21:48:16Z</dcterms:created>
  <dcterms:modified xsi:type="dcterms:W3CDTF">2026-03-26T19:46:37Z</dcterms:modified>
</cp:coreProperties>
</file>